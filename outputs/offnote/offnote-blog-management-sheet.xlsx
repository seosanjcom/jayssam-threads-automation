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8c36c9a77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f5551f5e2e334bae"/>
    <x:sheet xmlns:r="http://schemas.openxmlformats.org/officeDocument/2006/relationships" name="콘텐츠 캘린더" sheetId="2" r:id="R08c12bb77f344362"/>
    <x:sheet xmlns:r="http://schemas.openxmlformats.org/officeDocument/2006/relationships" name="글감 보관함" sheetId="3" r:id="R8a74935d0cd24bc7"/>
    <x:sheet xmlns:r="http://schemas.openxmlformats.org/officeDocument/2006/relationships" name="체험단 장부" sheetId="4" r:id="Re4bc46b1a94d4aac"/>
    <x:sheet xmlns:r="http://schemas.openxmlformats.org/officeDocument/2006/relationships" name="발행 로그" sheetId="5" r:id="R2ecc39b799c04498"/>
    <x:sheet xmlns:r="http://schemas.openxmlformats.org/officeDocument/2006/relationships" name="운영 규칙" sheetId="6" r:id="R60ec498e3104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E5F3E8"/>
      </x:patternFill>
    </x:fill>
    <x:fill>
      <x:patternFill patternType="solid">
        <x:fgColor rgb="FFFFF7ED"/>
      </x:patternFill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36fce94a948d4" /><Relationship Type="http://schemas.openxmlformats.org/officeDocument/2006/relationships/theme" Target="/xl/theme/theme1.xml" Id="Re643f346a7c54baa" /><Relationship Type="http://schemas.openxmlformats.org/officeDocument/2006/relationships/sharedStrings" Target="/xl/sharedStrings.xml" Id="Rdf783cac1fd341da" /><Relationship Type="http://schemas.openxmlformats.org/officeDocument/2006/relationships/worksheet" Target="/xl/worksheets/sheet1.xml" Id="Rf5551f5e2e334bae" /><Relationship Type="http://schemas.openxmlformats.org/officeDocument/2006/relationships/worksheet" Target="/xl/worksheets/sheet2.xml" Id="R08c12bb77f344362" /><Relationship Type="http://schemas.openxmlformats.org/officeDocument/2006/relationships/worksheet" Target="/xl/worksheets/sheet3.xml" Id="R8a74935d0cd24bc7" /><Relationship Type="http://schemas.openxmlformats.org/officeDocument/2006/relationships/worksheet" Target="/xl/worksheets/sheet4.xml" Id="Re4bc46b1a94d4aac" /><Relationship Type="http://schemas.openxmlformats.org/officeDocument/2006/relationships/worksheet" Target="/xl/worksheets/sheet5.xml" Id="R2ecc39b799c04498" /><Relationship Type="http://schemas.openxmlformats.org/officeDocument/2006/relationships/worksheet" Target="/xl/worksheets/sheet6.xml" Id="R60ec498e31044635" /></Relationships>
</file>

<file path=xl/tables/table1.xml><?xml version="1.0" encoding="utf-8"?>
<x:table xmlns:x="http://schemas.openxmlformats.org/spreadsheetml/2006/main" id="1" name="OffnoteCalendar" displayName="OffnoteCalendar" ref="A1:H11" headerRowCount="1">
  <x:tableColumns count="8">
    <x:tableColumn id="1" name="날짜"/>
    <x:tableColumn id="2" name="추천 시간"/>
    <x:tableColumn id="3" name="상태"/>
    <x:tableColumn id="4" name="주제"/>
    <x:tableColumn id="5" name="포맷"/>
    <x:tableColumn id="6" name="핵심 훅"/>
    <x:tableColumn id="7" name="댓글/확장"/>
    <x:tableColumn id="8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OffnoteTopicBank" displayName="OffnoteTopicBank" ref="A1:F11" headerRowCount="1">
  <x:tableColumns count="6">
    <x:tableColumn id="1" name="분류"/>
    <x:tableColumn id="2" name="글감"/>
    <x:tableColumn id="3" name="훅"/>
    <x:tableColumn id="4" name="본문에 넣을 찐 정보"/>
    <x:tableColumn id="5" name="댓글 확장"/>
    <x:tableColumn id="6" name="상태"/>
  </x:tableColumns>
  <x:tableStyleInfo name="TableStyleMedium2" showRowStripes="1"/>
</x:table>
</file>

<file path=xl/tables/table3.xml><?xml version="1.0" encoding="utf-8"?>
<x:table xmlns:x="http://schemas.openxmlformats.org/spreadsheetml/2006/main" id="3" name="ExperienceLedger" displayName="ExperienceLedger" ref="A1:I6" headerRowCount="1">
  <x:tableColumns count="9">
    <x:tableColumn id="1" name="날짜"/>
    <x:tableColumn id="2" name="업종"/>
    <x:tableColumn id="3" name="장소/브랜드"/>
    <x:tableColumn id="4" name="원래 가격"/>
    <x:tableColumn id="5" name="내가 쓴 비용"/>
    <x:tableColumn id="6" name="절약액"/>
    <x:tableColumn id="7" name="블로그 글 제목"/>
    <x:tableColumn id="8" name="상태"/>
    <x:tableColumn id="9" name="메모"/>
  </x:tableColumns>
  <x:tableStyleInfo name="TableStyleMedium2" showRowStripes="1"/>
</x:table>
</file>

<file path=xl/tables/table4.xml><?xml version="1.0" encoding="utf-8"?>
<x:table xmlns:x="http://schemas.openxmlformats.org/spreadsheetml/2006/main" id="4" name="OffnotePublishLog" displayName="OffnotePublishLog" ref="A1:G5" headerRowCount="1">
  <x:tableColumns count="7">
    <x:tableColumn id="1" name="발행일"/>
    <x:tableColumn id="2" name="계정"/>
    <x:tableColumn id="3" name="초안 ID"/>
    <x:tableColumn id="4" name="주제"/>
    <x:tableColumn id="5" name="Threads ID"/>
    <x:tableColumn id="6" name="댓글 수"/>
    <x:tableColumn id="7" name="상태"/>
  </x:tableColumns>
  <x:tableStyleInfo name="TableStyleMedium2" showRowStripes="1"/>
</x:table>
</file>

<file path=xl/tables/table5.xml><?xml version="1.0" encoding="utf-8"?>
<x:table xmlns:x="http://schemas.openxmlformats.org/spreadsheetml/2006/main" id="5" name="OffnoteRules" displayName="OffnoteRules" ref="A1:B7" headerRowCount="1">
  <x:tableColumns count="2">
    <x:tableColumn id="1" name="항목"/>
    <x:tableColumn id="2" name="규칙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0ed48fdbaa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c8f882dec142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cf6e9ab3af47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7010cf35cd47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507cf2362042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65" hidden="0" customWidth="1"/>
  </x:cols>
  <x:sheetData>
    <x:row r="1">
      <x:c r="A1" s="2" t="str">
        <x:v>오프노트 블로그 운영 관리</x:v>
      </x:c>
      <x:c r="B1" s="2"/>
    </x:row>
    <x:row r="2">
      <x:c r="A2" t="str"/>
      <x:c r="B2"/>
    </x:row>
    <x:row r="3">
      <x:c r="A3" s="6" t="str">
        <x:v>현재 집중</x:v>
      </x:c>
      <x:c r="B3" s="4" t="str">
        <x:v>블로그 체험단/생활비 절약/초보 후기글</x:v>
      </x:c>
    </x:row>
    <x:row r="4">
      <x:c r="A4" s="6" t="str">
        <x:v>기본 발행 시간</x:v>
      </x:c>
      <x:c r="B4" s="4" t="str">
        <x:v>18:00 KST, 댓글 유도 강한 글은 21:00 KST</x:v>
      </x:c>
    </x:row>
    <x:row r="5">
      <x:c r="A5" s="6" t="str">
        <x:v>이번 주 예정 글</x:v>
      </x:c>
      <x:c r="B5" s="4" t="n">
        <x:f>COUNTIF('콘텐츠 캘린더'!C:C,"예정")</x:f>
        <x:v>6</x:v>
      </x:c>
    </x:row>
    <x:row r="6">
      <x:c r="A6" s="6" t="str">
        <x:v>후보 글감</x:v>
      </x:c>
      <x:c r="B6" s="4" t="n">
        <x:f>COUNTIF('글감 보관함'!F:F,"후보")</x:f>
        <x:v>4</x:v>
      </x:c>
    </x:row>
    <x:row r="7">
      <x:c r="A7" s="6" t="str">
        <x:v>기록된 체험단 절약액</x:v>
      </x:c>
      <x:c r="B7" s="4" t="n">
        <x:f>SUM('체험단 장부'!F:F)</x:f>
        <x:v>0</x:v>
      </x:c>
    </x:row>
    <x:row r="8">
      <x:c r="A8" s="6" t="str">
        <x:v>발행 완료</x:v>
      </x:c>
      <x:c r="B8" s="4" t="n">
        <x:f>COUNTIF('발행 로그'!G:G,"발행완료")</x:f>
        <x:v>4</x:v>
      </x:c>
    </x:row>
    <x:row r="9">
      <x:c r="A9" s="4" t="str"/>
      <x:c r="B9" s="4"/>
    </x:row>
    <x:row r="10">
      <x:c r="A10" s="7" t="str">
        <x:v>운영 메모</x:v>
      </x:c>
      <x:c r="B10" s="7" t="str">
        <x:v>한동안 블로그 쪽으로 고정. 어렵게 말하지 말고, '나도 이걸로 생활비 줄였다'처럼 바로 체감되는 정보로 쓴다.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1.25" hidden="0" customWidth="1"/>
    <x:col min="4" max="4" width="31.25" hidden="0" customWidth="1"/>
    <x:col min="5" max="5" width="15" hidden="0" customWidth="1"/>
    <x:col min="6" max="6" width="41.25" hidden="0" customWidth="1"/>
    <x:col min="7" max="7" width="31.25" hidden="0" customWidth="1"/>
    <x:col min="8" max="8" width="22.5" hidden="0" customWidth="1"/>
  </x:cols>
  <x:sheetData>
    <x:row r="1">
      <x:c r="A1" s="10" t="str">
        <x:v>날짜</x:v>
      </x:c>
      <x:c r="B1" s="10" t="str">
        <x:v>추천 시간</x:v>
      </x:c>
      <x:c r="C1" s="10" t="str">
        <x:v>상태</x:v>
      </x:c>
      <x:c r="D1" s="10" t="str">
        <x:v>주제</x:v>
      </x:c>
      <x:c r="E1" s="10" t="str">
        <x:v>포맷</x:v>
      </x:c>
      <x:c r="F1" s="10" t="str">
        <x:v>핵심 훅</x:v>
      </x:c>
      <x:c r="G1" s="10" t="str">
        <x:v>댓글/확장</x:v>
      </x:c>
      <x:c r="H1" s="10" t="str">
        <x:v>비고</x:v>
      </x:c>
    </x:row>
    <x:row r="2">
      <x:c r="A2" s="4" t="str">
        <x:v>2026-05-26</x:v>
      </x:c>
      <x:c r="B2" s="4" t="str">
        <x:v>18:00 KST</x:v>
      </x:c>
      <x:c r="C2" s="4" t="str">
        <x:v>예정</x:v>
      </x:c>
      <x:c r="D2" s="4" t="str">
        <x:v>블로그를 일기장으로만 쓰는 사람에게</x:v>
      </x:c>
      <x:c r="E2" s="4" t="str">
        <x:v>생활비 절약 훅</x:v>
      </x:c>
      <x:c r="F2" s="4" t="str">
        <x:v>미용실/네일샵/카페/음식점 체험단으로 생활비 줄이기</x:v>
      </x:c>
      <x:c r="G2" s="4" t="str">
        <x:v>체험단 처음 시작 업종 리스트</x:v>
      </x:c>
      <x:c r="H2" s="4" t="str">
        <x:v>한동안 블로그 체험단 중심</x:v>
      </x:c>
    </x:row>
    <x:row r="3">
      <x:c r="A3" s="4" t="str">
        <x:v>2026-05-27</x:v>
      </x:c>
      <x:c r="B3" s="4" t="str">
        <x:v>18:00 KST</x:v>
      </x:c>
      <x:c r="C3" s="4" t="str">
        <x:v>예정</x:v>
      </x:c>
      <x:c r="D3" s="4" t="str">
        <x:v>체험단 신청 전에 블로그가 준비해야 할 것</x:v>
      </x:c>
      <x:c r="E3" s="4" t="str">
        <x:v>초보 체크리스트</x:v>
      </x:c>
      <x:c r="F3" s="4" t="str">
        <x:v>방문자보다 최근 글/사진/후기 구조가 먼저</x:v>
      </x:c>
      <x:c r="G3" s="4" t="str">
        <x:v>신청 전 최소 세팅 5개</x:v>
      </x:c>
      <x:c r="H3" s="4" t="str">
        <x:v>어렵게 말하지 않기</x:v>
      </x:c>
    </x:row>
    <x:row r="4">
      <x:c r="A4" s="4" t="str">
        <x:v>2026-05-28</x:v>
      </x:c>
      <x:c r="B4" s="4" t="str">
        <x:v>18:00 KST</x:v>
      </x:c>
      <x:c r="C4" s="4" t="str">
        <x:v>예정</x:v>
      </x:c>
      <x:c r="D4" s="4" t="str">
        <x:v>체험단 글이 광고처럼 보이지 않게 쓰는 법</x:v>
      </x:c>
      <x:c r="E4" s="4" t="str">
        <x:v>후기 글쓰기</x:v>
      </x:c>
      <x:c r="F4" s="4" t="str">
        <x:v>업체 칭찬보다 내가 왜 갔는지 먼저</x:v>
      </x:c>
      <x:c r="G4" s="4" t="str">
        <x:v>후기글 순서 템플릿</x:v>
      </x:c>
      <x:c r="H4" s="4" t="str">
        <x:v>찐 정보 느낌</x:v>
      </x:c>
    </x:row>
    <x:row r="5">
      <x:c r="A5" s="4" t="str">
        <x:v>2026-05-29</x:v>
      </x:c>
      <x:c r="B5" s="4" t="str">
        <x:v>18:00 KST</x:v>
      </x:c>
      <x:c r="C5" s="4" t="str">
        <x:v>예정</x:v>
      </x:c>
      <x:c r="D5" s="4" t="str">
        <x:v>블로그 체험단을 생활비 장부처럼 보는 법</x:v>
      </x:c>
      <x:c r="E5" s="4" t="str">
        <x:v>숫자화</x:v>
      </x:c>
      <x:c r="F5" s="4" t="str">
        <x:v>네일 5만+외식 7만+카페 2만=14만원 절약</x:v>
      </x:c>
      <x:c r="G5" s="4" t="str">
        <x:v>체험단 장부 항목</x:v>
      </x:c>
      <x:c r="H5" s="4" t="str">
        <x:v>절약액 기록 유도</x:v>
      </x:c>
    </x:row>
    <x:row r="6">
      <x:c r="A6" s="4" t="str">
        <x:v>2026-05-30</x:v>
      </x:c>
      <x:c r="B6" s="4" t="str">
        <x:v>21:00 KST</x:v>
      </x:c>
      <x:c r="C6" s="4" t="str">
        <x:v>예정</x:v>
      </x:c>
      <x:c r="D6" s="4" t="str">
        <x:v>동네 후기 블로그가 초보에게 좋은 이유</x:v>
      </x:c>
      <x:c r="E6" s="4" t="str">
        <x:v>동네 글감</x:v>
      </x:c>
      <x:c r="F6" s="4" t="str">
        <x:v>전국 핫플보다 내 생활권 후기가 쉽다</x:v>
      </x:c>
      <x:c r="G6" s="4" t="str">
        <x:v>지역+상황+업종 제목 예시</x:v>
      </x:c>
      <x:c r="H6" s="4" t="str">
        <x:v>댓글 유도 좋음</x:v>
      </x:c>
    </x:row>
    <x:row r="7">
      <x:c r="A7" s="4" t="str">
        <x:v>2026-05-31</x:v>
      </x:c>
      <x:c r="B7" s="4" t="str">
        <x:v>21:00 KST</x:v>
      </x:c>
      <x:c r="C7" s="4" t="str">
        <x:v>예정</x:v>
      </x:c>
      <x:c r="D7" s="4" t="str">
        <x:v>일기형 블로그에서 정보형 블로그로 바꾸는 법</x:v>
      </x:c>
      <x:c r="E7" s="4" t="str">
        <x:v>문장 전환</x:v>
      </x:c>
      <x:c r="F7" s="4" t="str">
        <x:v>좋았다에서 끝내지 말고 누가 가면 좋은지 쓰기</x:v>
      </x:c>
      <x:c r="G7" s="4" t="str">
        <x:v>일기문장-&gt;정보문장 예시</x:v>
      </x:c>
      <x:c r="H7" s="4" t="str">
        <x:v>초보 공감형</x:v>
      </x:c>
    </x:row>
    <x:row r="8">
      <x:c r="A8" s="4" t="str">
        <x:v>2026-06-01</x:v>
      </x:c>
      <x:c r="B8" s="4" t="str">
        <x:v>18:00 KST</x:v>
      </x:c>
      <x:c r="C8" s="4" t="str">
        <x:v>후보</x:v>
      </x:c>
      <x:c r="D8" s="4" t="str">
        <x:v>체험단으로 한 달 생활비 얼마나 줄일 수 있을까</x:v>
      </x:c>
      <x:c r="E8" s="4" t="str">
        <x:v>계산형</x:v>
      </x:c>
      <x:c r="F8" s="4" t="str">
        <x:v>수익 인증보다 덜 쓴 돈부터 계산</x:v>
      </x:c>
      <x:c r="G8" s="4" t="str">
        <x:v>업종별 평균 절약액</x:v>
      </x:c>
      <x:c r="H8" s="4" t="str">
        <x:v>반응 좋으면 반복</x:v>
      </x:c>
    </x:row>
    <x:row r="9">
      <x:c r="A9" s="4" t="str">
        <x:v>2026-06-02</x:v>
      </x:c>
      <x:c r="B9" s="4" t="str">
        <x:v>18:00 KST</x:v>
      </x:c>
      <x:c r="C9" s="4" t="str">
        <x:v>후보</x:v>
      </x:c>
      <x:c r="D9" s="4" t="str">
        <x:v>카페 체험단이 초보에게 제일 쉬운 이유</x:v>
      </x:c>
      <x:c r="E9" s="4" t="str">
        <x:v>업종별 팁</x:v>
      </x:c>
      <x:c r="F9" s="4" t="str">
        <x:v>사진 찍기 쉽고 글감이 자연스럽다</x:v>
      </x:c>
      <x:c r="G9" s="4" t="str">
        <x:v>카페 후기 사진 체크리스트</x:v>
      </x:c>
      <x:c r="H9" s="4" t="str">
        <x:v>시작 난이도 낮음</x:v>
      </x:c>
    </x:row>
    <x:row r="10">
      <x:c r="A10" s="4" t="str">
        <x:v>2026-06-03</x:v>
      </x:c>
      <x:c r="B10" s="4" t="str">
        <x:v>18:00 KST</x:v>
      </x:c>
      <x:c r="C10" s="4" t="str">
        <x:v>후보</x:v>
      </x:c>
      <x:c r="D10" s="4" t="str">
        <x:v>네일샵 체험단 글은 전후 사진이 반이다</x:v>
      </x:c>
      <x:c r="E10" s="4" t="str">
        <x:v>업종별 팁</x:v>
      </x:c>
      <x:c r="F10" s="4" t="str">
        <x:v>예쁜 사진보다 손톱 고민과 전후가 중요</x:v>
      </x:c>
      <x:c r="G10" s="4" t="str">
        <x:v>네일 후기 구성</x:v>
      </x:c>
      <x:c r="H10" s="4" t="str">
        <x:v>미용 업종 확장</x:v>
      </x:c>
    </x:row>
    <x:row r="11">
      <x:c r="A11" s="4" t="str">
        <x:v>2026-06-04</x:v>
      </x:c>
      <x:c r="B11" s="4" t="str">
        <x:v>18:00 KST</x:v>
      </x:c>
      <x:c r="C11" s="4" t="str">
        <x:v>후보</x:v>
      </x:c>
      <x:c r="D11" s="4" t="str">
        <x:v>음식점 체험단 글에서 제일 많이 놓치는 것</x:v>
      </x:c>
      <x:c r="E11" s="4" t="str">
        <x:v>후기 디테일</x:v>
      </x:c>
      <x:c r="F11" s="4" t="str">
        <x:v>맛있다보다 양/대기/주차/재방문 상황</x:v>
      </x:c>
      <x:c r="G11" s="4" t="str">
        <x:v>음식점 후기 체크리스트</x:v>
      </x:c>
      <x:c r="H11" s="4" t="str">
        <x:v>지역 검색 유입</x:v>
      </x:c>
    </x:row>
  </x:sheetData>
  <x:pageMargins left="0.7" right="0.7" top="0.75" bottom="0.75" header="0.3" footer="0.3"/>
  <x:tableParts count="1">
    <x:tablePart xmlns:r="http://schemas.openxmlformats.org/officeDocument/2006/relationships" r:id="R140ed48fdbaa48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.75" hidden="0" customWidth="1"/>
    <x:col min="3" max="3" width="35" hidden="0" customWidth="1"/>
    <x:col min="4" max="4" width="38.75" hidden="0" customWidth="1"/>
    <x:col min="5" max="5" width="28.75" hidden="0" customWidth="1"/>
    <x:col min="6" max="6" width="10" hidden="0" customWidth="1"/>
  </x:cols>
  <x:sheetData>
    <x:row r="1">
      <x:c r="A1" s="10" t="str">
        <x:v>분류</x:v>
      </x:c>
      <x:c r="B1" s="10" t="str">
        <x:v>글감</x:v>
      </x:c>
      <x:c r="C1" s="10" t="str">
        <x:v>훅</x:v>
      </x:c>
      <x:c r="D1" s="10" t="str">
        <x:v>본문에 넣을 찐 정보</x:v>
      </x:c>
      <x:c r="E1" s="10" t="str">
        <x:v>댓글 확장</x:v>
      </x:c>
      <x:c r="F1" s="10" t="str">
        <x:v>상태</x:v>
      </x:c>
    </x:row>
    <x:row r="2">
      <x:c r="A2" s="4" t="str">
        <x:v>블로그 체험단</x:v>
      </x:c>
      <x:c r="B2" s="4" t="str">
        <x:v>일기장 블로그에서 체험단 블로그로</x:v>
      </x:c>
      <x:c r="C2" s="4" t="str">
        <x:v>블로그 아직도 일기만 쓰면 아깝다</x:v>
      </x:c>
      <x:c r="D2" s="4" t="str">
        <x:v>생활비 절약부터 시작</x:v>
      </x:c>
      <x:c r="E2" s="4" t="str">
        <x:v>처음 신청할 업종 리스트</x:v>
      </x:c>
      <x:c r="F2" s="4" t="str">
        <x:v>사용</x:v>
      </x:c>
    </x:row>
    <x:row r="3">
      <x:c r="A3" s="4" t="str">
        <x:v>블로그 체험단</x:v>
      </x:c>
      <x:c r="B3" s="4" t="str">
        <x:v>체험단 신청 전 준비</x:v>
      </x:c>
      <x:c r="C3" s="4" t="str">
        <x:v>방문자보다 블로그 상태가 먼저</x:v>
      </x:c>
      <x:c r="D3" s="4" t="str">
        <x:v>최근 글/사진/제목/후기 구조</x:v>
      </x:c>
      <x:c r="E3" s="4" t="str">
        <x:v>최소 세팅 5개</x:v>
      </x:c>
      <x:c r="F3" s="4" t="str">
        <x:v>사용</x:v>
      </x:c>
    </x:row>
    <x:row r="4">
      <x:c r="A4" s="4" t="str">
        <x:v>후기 글쓰기</x:v>
      </x:c>
      <x:c r="B4" s="4" t="str">
        <x:v>광고처럼 안 보이는 후기 순서</x:v>
      </x:c>
      <x:c r="C4" s="4" t="str">
        <x:v>칭찬부터 하면 바로 티 난다</x:v>
      </x:c>
      <x:c r="D4" s="4" t="str">
        <x:v>내 상황-&gt;과정-&gt;기준-&gt;대상</x:v>
      </x:c>
      <x:c r="E4" s="4" t="str">
        <x:v>복붙 가능한 후기 순서</x:v>
      </x:c>
      <x:c r="F4" s="4" t="str">
        <x:v>사용</x:v>
      </x:c>
    </x:row>
    <x:row r="5">
      <x:c r="A5" s="4" t="str">
        <x:v>생활비 절약</x:v>
      </x:c>
      <x:c r="B5" s="4" t="str">
        <x:v>체험단 장부</x:v>
      </x:c>
      <x:c r="C5" s="4" t="str">
        <x:v>현금 입금이 아니어도 덜 쓴 돈은 성과</x:v>
      </x:c>
      <x:c r="D5" s="4" t="str">
        <x:v>업종별 절약액 계산</x:v>
      </x:c>
      <x:c r="E5" s="4" t="str">
        <x:v>장부 양식</x:v>
      </x:c>
      <x:c r="F5" s="4" t="str">
        <x:v>사용</x:v>
      </x:c>
    </x:row>
    <x:row r="6">
      <x:c r="A6" s="4" t="str">
        <x:v>동네 블로그</x:v>
      </x:c>
      <x:c r="B6" s="4" t="str">
        <x:v>동네 후기 10개 쌓기</x:v>
      </x:c>
      <x:c r="C6" s="4" t="str">
        <x:v>전국 핫플보다 내 생활권이 쉽다</x:v>
      </x:c>
      <x:c r="D6" s="4" t="str">
        <x:v>지역+상황+업종 제목</x:v>
      </x:c>
      <x:c r="E6" s="4" t="str">
        <x:v>동네 글감 예시</x:v>
      </x:c>
      <x:c r="F6" s="4" t="str">
        <x:v>사용</x:v>
      </x:c>
    </x:row>
    <x:row r="7">
      <x:c r="A7" s="4" t="str">
        <x:v>블로그 운영</x:v>
      </x:c>
      <x:c r="B7" s="4" t="str">
        <x:v>일기형 문장 바꾸기</x:v>
      </x:c>
      <x:c r="C7" s="4" t="str">
        <x:v>좋았다에서 끝내지 말기</x:v>
      </x:c>
      <x:c r="D7" s="4" t="str">
        <x:v>가격/대상/다음 선택 한 줄 추가</x:v>
      </x:c>
      <x:c r="E7" s="4" t="str">
        <x:v>문장 변환 예시</x:v>
      </x:c>
      <x:c r="F7" s="4" t="str">
        <x:v>사용</x:v>
      </x:c>
    </x:row>
    <x:row r="8">
      <x:c r="A8" s="4" t="str">
        <x:v>블로그 체험단</x:v>
      </x:c>
      <x:c r="B8" s="4" t="str">
        <x:v>미용실 체험단 후기</x:v>
      </x:c>
      <x:c r="C8" s="4" t="str">
        <x:v>머리 망할까 봐 검색하는 사람이 많다</x:v>
      </x:c>
      <x:c r="D8" s="4" t="str">
        <x:v>상담/가격/전후/관리법</x:v>
      </x:c>
      <x:c r="E8" s="4" t="str">
        <x:v>미용실 사진 체크리스트</x:v>
      </x:c>
      <x:c r="F8" s="4" t="str">
        <x:v>후보</x:v>
      </x:c>
    </x:row>
    <x:row r="9">
      <x:c r="A9" s="4" t="str">
        <x:v>블로그 체험단</x:v>
      </x:c>
      <x:c r="B9" s="4" t="str">
        <x:v>네일샵 체험단 후기</x:v>
      </x:c>
      <x:c r="C9" s="4" t="str">
        <x:v>예쁜 사진보다 유지력과 전후</x:v>
      </x:c>
      <x:c r="D9" s="4" t="str">
        <x:v>손톱 고민/시술 과정/유지 기간</x:v>
      </x:c>
      <x:c r="E9" s="4" t="str">
        <x:v>네일 후기 순서</x:v>
      </x:c>
      <x:c r="F9" s="4" t="str">
        <x:v>후보</x:v>
      </x:c>
    </x:row>
    <x:row r="10">
      <x:c r="A10" s="4" t="str">
        <x:v>블로그 체험단</x:v>
      </x:c>
      <x:c r="B10" s="4" t="str">
        <x:v>카페 체험단 후기</x:v>
      </x:c>
      <x:c r="C10" s="4" t="str">
        <x:v>노트북/혼밥/주차 같은 상황이 검색된다</x:v>
      </x:c>
      <x:c r="D10" s="4" t="str">
        <x:v>콘센트/좌석/소음/메뉴 크기</x:v>
      </x:c>
      <x:c r="E10" s="4" t="str">
        <x:v>카페 사진 체크리스트</x:v>
      </x:c>
      <x:c r="F10" s="4" t="str">
        <x:v>후보</x:v>
      </x:c>
    </x:row>
    <x:row r="11">
      <x:c r="A11" s="4" t="str">
        <x:v>블로그 체험단</x:v>
      </x:c>
      <x:c r="B11" s="4" t="str">
        <x:v>음식점 체험단 후기</x:v>
      </x:c>
      <x:c r="C11" s="4" t="str">
        <x:v>맛있다만 쓰면 안 남는다</x:v>
      </x:c>
      <x:c r="D11" s="4" t="str">
        <x:v>대기/양/가격/주차/재방문</x:v>
      </x:c>
      <x:c r="E11" s="4" t="str">
        <x:v>음식점 후기 표</x:v>
      </x:c>
      <x:c r="F11" s="4" t="str">
        <x:v>후보</x:v>
      </x:c>
    </x:row>
  </x:sheetData>
  <x:pageMargins left="0.7" right="0.7" top="0.75" bottom="0.75" header="0.3" footer="0.3"/>
  <x:tableParts count="1">
    <x:tablePart xmlns:r="http://schemas.openxmlformats.org/officeDocument/2006/relationships" r:id="Rfbc8f882dec142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2.5" hidden="0" customWidth="1"/>
    <x:col min="3" max="3" width="22.5" hidden="0" customWidth="1"/>
    <x:col min="4" max="4" width="13.75" hidden="0" customWidth="1"/>
    <x:col min="5" max="5" width="13.75" hidden="0" customWidth="1"/>
    <x:col min="6" max="6" width="13.75" hidden="0" customWidth="1"/>
    <x:col min="7" max="7" width="35" hidden="0" customWidth="1"/>
    <x:col min="8" max="8" width="11.25" hidden="0" customWidth="1"/>
    <x:col min="9" max="9" width="22.5" hidden="0" customWidth="1"/>
  </x:cols>
  <x:sheetData>
    <x:row r="1">
      <x:c r="A1" s="10" t="str">
        <x:v>날짜</x:v>
      </x:c>
      <x:c r="B1" s="10" t="str">
        <x:v>업종</x:v>
      </x:c>
      <x:c r="C1" s="10" t="str">
        <x:v>장소/브랜드</x:v>
      </x:c>
      <x:c r="D1" s="10" t="str">
        <x:v>원래 가격</x:v>
      </x:c>
      <x:c r="E1" s="10" t="str">
        <x:v>내가 쓴 비용</x:v>
      </x:c>
      <x:c r="F1" s="10" t="str">
        <x:v>절약액</x:v>
      </x:c>
      <x:c r="G1" s="10" t="str">
        <x:v>블로그 글 제목</x:v>
      </x:c>
      <x:c r="H1" s="10" t="str">
        <x:v>상태</x:v>
      </x:c>
      <x:c r="I1" s="10" t="str">
        <x:v>메모</x:v>
      </x:c>
    </x:row>
    <x:row r="2">
      <x:c r="A2" s="4" t="str"/>
      <x:c r="B2" s="4" t="str">
        <x:v>카페</x:v>
      </x:c>
      <x:c r="C2" s="4" t="str"/>
      <x:c r="D2" s="4" t="str"/>
      <x:c r="E2" s="4" t="str"/>
      <x:c r="F2" s="4" t="str">
        <x:f>IF(OR(D2="",E2=""),"",D2-E2)</x:f>
      </x:c>
      <x:c r="G2" s="4" t="str"/>
      <x:c r="H2" s="4" t="str">
        <x:v>후보</x:v>
      </x:c>
      <x:c r="I2" s="4" t="str">
        <x:v>초보 시작용</x:v>
      </x:c>
    </x:row>
    <x:row r="3">
      <x:c r="A3" s="4" t="str"/>
      <x:c r="B3" s="4" t="str">
        <x:v>음식점</x:v>
      </x:c>
      <x:c r="C3" s="4" t="str"/>
      <x:c r="D3" s="4" t="str"/>
      <x:c r="E3" s="4" t="str"/>
      <x:c r="F3" s="4" t="str">
        <x:f>IF(OR(D3="",E3=""),"",D3-E3)</x:f>
      </x:c>
      <x:c r="G3" s="4" t="str"/>
      <x:c r="H3" s="4" t="str">
        <x:v>후보</x:v>
      </x:c>
      <x:c r="I3" s="4" t="str">
        <x:v>지역 검색 유입</x:v>
      </x:c>
    </x:row>
    <x:row r="4">
      <x:c r="A4" s="4" t="str"/>
      <x:c r="B4" s="4" t="str">
        <x:v>네일샵</x:v>
      </x:c>
      <x:c r="C4" s="4" t="str"/>
      <x:c r="D4" s="4" t="str"/>
      <x:c r="E4" s="4" t="str"/>
      <x:c r="F4" s="4" t="str">
        <x:f>IF(OR(D4="",E4=""),"",D4-E4)</x:f>
      </x:c>
      <x:c r="G4" s="4" t="str"/>
      <x:c r="H4" s="4" t="str">
        <x:v>후보</x:v>
      </x:c>
      <x:c r="I4" s="4" t="str">
        <x:v>전후 사진 강함</x:v>
      </x:c>
    </x:row>
    <x:row r="5">
      <x:c r="A5" s="4" t="str"/>
      <x:c r="B5" s="4" t="str">
        <x:v>미용실</x:v>
      </x:c>
      <x:c r="C5" s="4" t="str"/>
      <x:c r="D5" s="4" t="str"/>
      <x:c r="E5" s="4" t="str"/>
      <x:c r="F5" s="4" t="str">
        <x:f>IF(OR(D5="",E5=""),"",D5-E5)</x:f>
      </x:c>
      <x:c r="G5" s="4" t="str"/>
      <x:c r="H5" s="4" t="str">
        <x:v>후보</x:v>
      </x:c>
      <x:c r="I5" s="4" t="str">
        <x:v>금액 체감 큼</x:v>
      </x:c>
    </x:row>
    <x:row r="6">
      <x:c r="A6" s="4" t="str"/>
      <x:c r="B6" s="4" t="str">
        <x:v>피부관리</x:v>
      </x:c>
      <x:c r="C6" s="4" t="str"/>
      <x:c r="D6" s="4" t="str"/>
      <x:c r="E6" s="4" t="str"/>
      <x:c r="F6" s="4" t="str">
        <x:f>IF(OR(D6="",E6=""),"",D6-E6)</x:f>
      </x:c>
      <x:c r="G6" s="4" t="str"/>
      <x:c r="H6" s="4" t="str">
        <x:v>후보</x:v>
      </x:c>
      <x:c r="I6" s="4" t="str">
        <x:v>후기 디테일 필요</x:v>
      </x:c>
    </x:row>
  </x:sheetData>
  <x:pageMargins left="0.7" right="0.7" top="0.75" bottom="0.75" header="0.3" footer="0.3"/>
  <x:tableParts count="1">
    <x:tablePart xmlns:r="http://schemas.openxmlformats.org/officeDocument/2006/relationships" r:id="R57cf6e9ab3af47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3.75" hidden="0" customWidth="1"/>
    <x:col min="3" max="3" width="37.5" hidden="0" customWidth="1"/>
    <x:col min="4" max="4" width="37.5" hidden="0" customWidth="1"/>
    <x:col min="5" max="5" width="22.5" hidden="0" customWidth="1"/>
    <x:col min="6" max="6" width="10" hidden="0" customWidth="1"/>
    <x:col min="7" max="7" width="12.5" hidden="0" customWidth="1"/>
  </x:cols>
  <x:sheetData>
    <x:row r="1">
      <x:c r="A1" s="10" t="str">
        <x:v>발행일</x:v>
      </x:c>
      <x:c r="B1" s="10" t="str">
        <x:v>계정</x:v>
      </x:c>
      <x:c r="C1" s="10" t="str">
        <x:v>초안 ID</x:v>
      </x:c>
      <x:c r="D1" s="10" t="str">
        <x:v>주제</x:v>
      </x:c>
      <x:c r="E1" s="10" t="str">
        <x:v>Threads ID</x:v>
      </x:c>
      <x:c r="F1" s="10" t="str">
        <x:v>댓글 수</x:v>
      </x:c>
      <x:c r="G1" s="10" t="str">
        <x:v>상태</x:v>
      </x:c>
    </x:row>
    <x:row r="2">
      <x:c r="A2" s="4" t="str">
        <x:v>2026-05-23</x:v>
      </x:c>
      <x:c r="B2" s="4" t="str">
        <x:v>offnote.kr</x:v>
      </x:c>
      <x:c r="C2" s="4" t="str">
        <x:v>OFFNOTE-20260523-evening-search-intent-first</x:v>
      </x:c>
      <x:c r="D2" s="4" t="str">
        <x:v>블로그/유튜브 부업에서 먼저 잡아야 할 검색 의도</x:v>
      </x:c>
      <x:c r="E2" s="4" t="str">
        <x:v>18398844427159055</x:v>
      </x:c>
      <x:c r="F2" s="4" t="n">
        <x:v>3</x:v>
      </x:c>
      <x:c r="G2" s="4" t="str">
        <x:v>발행완료</x:v>
      </x:c>
    </x:row>
    <x:row r="3">
      <x:c r="A3" s="4" t="str">
        <x:v>2026-05-24</x:v>
      </x:c>
      <x:c r="B3" s="4" t="str">
        <x:v>offnote.kr</x:v>
      </x:c>
      <x:c r="C3" s="4" t="str">
        <x:v>OFFNOTE-20260524-evening-shorts-review-system</x:v>
      </x:c>
      <x:c r="D3" s="4" t="str">
        <x:v>유튜브 쇼츠 제품 리뷰를 부업으로 볼 때의 구조</x:v>
      </x:c>
      <x:c r="E3" s="4" t="str">
        <x:v>18115986562695422</x:v>
      </x:c>
      <x:c r="F3" s="4" t="n">
        <x:v>3</x:v>
      </x:c>
      <x:c r="G3" s="4" t="str">
        <x:v>발행완료</x:v>
      </x:c>
    </x:row>
    <x:row r="4">
      <x:c r="A4" s="4" t="str">
        <x:v>2026-05-24</x:v>
      </x:c>
      <x:c r="B4" s="4" t="str">
        <x:v>offnote.kr</x:v>
      </x:c>
      <x:c r="C4" s="4" t="str">
        <x:v>OFFNOTE-20260524-now-ai-document-automation-keywords</x:v>
      </x:c>
      <x:c r="D4" s="4" t="str">
        <x:v>AI 문서 자동화 검색어 선점</x:v>
      </x:c>
      <x:c r="E4" s="4" t="str">
        <x:v>18163556599442127</x:v>
      </x:c>
      <x:c r="F4" s="4" t="n">
        <x:v>3</x:v>
      </x:c>
      <x:c r="G4" s="4" t="str">
        <x:v>발행완료</x:v>
      </x:c>
    </x:row>
    <x:row r="5">
      <x:c r="A5" s="4" t="str">
        <x:v>2026-05-25</x:v>
      </x:c>
      <x:c r="B5" s="4" t="str">
        <x:v>offnote.kr</x:v>
      </x:c>
      <x:c r="C5" s="4" t="str">
        <x:v>OFFNOTE-20260525-evening-rainy-shoe-odor-keywords</x:v>
      </x:c>
      <x:c r="D5" s="4" t="str">
        <x:v>장마철 신발 냄새 검색어 선점</x:v>
      </x:c>
      <x:c r="E5" s="4" t="str">
        <x:v>18000451994760855</x:v>
      </x:c>
      <x:c r="F5" s="4" t="n">
        <x:v>3</x:v>
      </x:c>
      <x:c r="G5" s="4" t="str">
        <x:v>발행완료</x:v>
      </x:c>
    </x:row>
  </x:sheetData>
  <x:pageMargins left="0.7" right="0.7" top="0.75" bottom="0.75" header="0.3" footer="0.3"/>
  <x:tableParts count="1">
    <x:tablePart xmlns:r="http://schemas.openxmlformats.org/officeDocument/2006/relationships" r:id="R217010cf35cd47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77.5" hidden="0" customWidth="1"/>
  </x:cols>
  <x:sheetData>
    <x:row r="1">
      <x:c r="A1" s="10" t="str">
        <x:v>항목</x:v>
      </x:c>
      <x:c r="B1" s="10" t="str">
        <x:v>규칙</x:v>
      </x:c>
    </x:row>
    <x:row r="2">
      <x:c r="A2" s="4" t="str">
        <x:v>톤</x:v>
      </x:c>
      <x:c r="B2" s="4" t="str">
        <x:v>친근하게. 블로그 강의 말투 금지. 찐 정보 주는 언니/누나 느낌.</x:v>
      </x:c>
    </x:row>
    <x:row r="3">
      <x:c r="A3" s="4" t="str">
        <x:v>주제 범위</x:v>
      </x:c>
      <x:c r="B3" s="4" t="str">
        <x:v>블로그 체험단, 생활비 절약, 동네 후기, 후기글 쓰는 법, 초보 블로그 세팅.</x:v>
      </x:c>
    </x:row>
    <x:row r="4">
      <x:c r="A4" s="4" t="str">
        <x:v>당분간 제외</x:v>
      </x:c>
      <x:c r="B4" s="4" t="str">
        <x:v>AI 문서 자동화, 유튜브/쇼츠 부업, 키워드 선점 반복.</x:v>
      </x:c>
    </x:row>
    <x:row r="5">
      <x:c r="A5" s="4" t="str">
        <x:v>라이프매거진과 구분</x:v>
      </x:c>
      <x:c r="B5" s="4" t="str">
        <x:v>연예인 제품/제휴링크/구매링크/댓글 상품정보는 lifemagazine_로 보낸다.</x:v>
      </x:c>
    </x:row>
    <x:row r="6">
      <x:c r="A6" s="4" t="str">
        <x:v>발행 시간</x:v>
      </x:c>
      <x:c r="B6" s="4" t="str">
        <x:v>국내용은 23:00 기본 사용 금지. 18:00 우선, 댓글형은 21:00.</x:v>
      </x:c>
    </x:row>
    <x:row r="7">
      <x:c r="A7" s="4" t="str">
        <x:v>좋은 훅</x:v>
      </x:c>
      <x:c r="B7" s="4" t="str">
        <x:v>아직도 일기만 쓰면 아깝다 / 체험단으로 얼마 아꼈다 / 광고처럼 안 보이게 쓰는 순서.</x:v>
      </x:c>
    </x:row>
  </x:sheetData>
  <x:pageMargins left="0.7" right="0.7" top="0.75" bottom="0.75" header="0.3" footer="0.3"/>
  <x:tableParts count="1">
    <x:tablePart xmlns:r="http://schemas.openxmlformats.org/officeDocument/2006/relationships" r:id="Ra5507cf2362042b2"/>
  </x:tableParts>
</x:worksheet>
</file>